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8_{8526A666-3547-42D5-8946-659F505242C1}" xr6:coauthVersionLast="47" xr6:coauthVersionMax="47" xr10:uidLastSave="{00000000-0000-0000-0000-000000000000}"/>
  <bookViews>
    <workbookView xWindow="-108" yWindow="-108" windowWidth="23256" windowHeight="13176" xr2:uid="{A141233A-FDF6-419C-98A4-34013A9CEB3C}"/>
  </bookViews>
  <sheets>
    <sheet name="conditional formatting" sheetId="1" r:id="rId1"/>
    <sheet name="conditionl formatting odd or e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3" i="1"/>
  <c r="O3" i="1"/>
  <c r="O8" i="1"/>
  <c r="O4" i="1"/>
  <c r="O5" i="1"/>
  <c r="O6" i="1"/>
  <c r="O7" i="1"/>
  <c r="M3" i="1"/>
  <c r="M4" i="1"/>
  <c r="M5" i="1"/>
  <c r="M6" i="1"/>
  <c r="M8" i="1"/>
  <c r="M7" i="1"/>
  <c r="G8" i="1"/>
  <c r="H8" i="1"/>
  <c r="I8" i="1"/>
  <c r="N8" i="1"/>
  <c r="J8" i="1"/>
  <c r="K8" i="1"/>
  <c r="N4" i="1"/>
  <c r="N5" i="1"/>
  <c r="N6" i="1"/>
  <c r="N7" i="1"/>
  <c r="N3" i="1"/>
  <c r="H3" i="1"/>
  <c r="I3" i="1" s="1"/>
  <c r="I5" i="1"/>
  <c r="I6" i="1"/>
  <c r="I7" i="1"/>
  <c r="K5" i="1" l="1"/>
  <c r="K4" i="1"/>
  <c r="J4" i="1"/>
  <c r="J5" i="1"/>
  <c r="J6" i="1"/>
  <c r="K3" i="1"/>
  <c r="J7" i="1"/>
  <c r="K7" i="1"/>
  <c r="H6" i="1"/>
  <c r="K6" i="1"/>
  <c r="J3" i="1"/>
  <c r="H4" i="1"/>
  <c r="I4" i="1" s="1"/>
  <c r="G5" i="1"/>
  <c r="H7" i="1"/>
  <c r="G6" i="1"/>
  <c r="G7" i="1"/>
  <c r="H5" i="1"/>
  <c r="G3" i="1"/>
  <c r="G4" i="1"/>
</calcChain>
</file>

<file path=xl/sharedStrings.xml><?xml version="1.0" encoding="utf-8"?>
<sst xmlns="http://schemas.openxmlformats.org/spreadsheetml/2006/main" count="29" uniqueCount="25">
  <si>
    <t>REG NO</t>
  </si>
  <si>
    <t xml:space="preserve">NAME </t>
  </si>
  <si>
    <t xml:space="preserve">DEPARTMENT </t>
  </si>
  <si>
    <t>M1</t>
  </si>
  <si>
    <t>M2</t>
  </si>
  <si>
    <t>M3</t>
  </si>
  <si>
    <t xml:space="preserve">TOTAL </t>
  </si>
  <si>
    <t xml:space="preserve">AVERAGE </t>
  </si>
  <si>
    <t>RESULT</t>
  </si>
  <si>
    <t>MIN</t>
  </si>
  <si>
    <t>MAX</t>
  </si>
  <si>
    <t>VIGNESH</t>
  </si>
  <si>
    <t>SHARAN</t>
  </si>
  <si>
    <t>SUDHARSUN</t>
  </si>
  <si>
    <t>PRAVEEN</t>
  </si>
  <si>
    <t>KUMARAN</t>
  </si>
  <si>
    <t>IT</t>
  </si>
  <si>
    <t xml:space="preserve"> CSE</t>
  </si>
  <si>
    <t>HR</t>
  </si>
  <si>
    <t>RANK</t>
  </si>
  <si>
    <t>GRADE</t>
  </si>
  <si>
    <t>Learners Marksheet</t>
  </si>
  <si>
    <t>D-NIGGER</t>
  </si>
  <si>
    <t>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</si>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</sst>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/>
    <xf numFmtId="0" fontId="0" fillId="0" borderId="2" xfId="0" applyFill="1" applyBorder="1"/>
    <xf numFmtId="0" fontId="0" fillId="2" borderId="2" xfId="0" applyFill="1" applyBorder="1"/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9"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3416-F1D1-4EB5-B06F-385BD6608E24}">
  <dimension ref="A1:P8"/>
  <sheetViews>
    <sheetView tabSelected="1" zoomScale="172" workbookViewId="0">
      <selection sqref="A1:P1"/>
    </sheetView>
  </sheetViews>
  <sheetFormatPr defaultRowHeight="14.4" x14ac:dyDescent="0.3"/>
  <cols>
    <col min="1" max="1" width="7.44140625" bestFit="1" customWidth="1"/>
    <col min="2" max="2" width="11.77734375" bestFit="1" customWidth="1"/>
    <col min="3" max="3" width="12.6640625" bestFit="1" customWidth="1"/>
    <col min="4" max="6" width="3.44140625" bestFit="1" customWidth="1"/>
    <col min="7" max="7" width="6.44140625" bestFit="1" customWidth="1"/>
    <col min="8" max="8" width="14.21875" bestFit="1" customWidth="1"/>
    <col min="9" max="9" width="7.21875" bestFit="1" customWidth="1"/>
    <col min="10" max="10" width="4.33203125" bestFit="1" customWidth="1"/>
    <col min="11" max="11" width="4.6640625" bestFit="1" customWidth="1"/>
    <col min="12" max="12" width="5.6640625" bestFit="1" customWidth="1"/>
    <col min="13" max="13" width="6.77734375" bestFit="1" customWidth="1"/>
    <col min="14" max="14" width="7.21875" bestFit="1" customWidth="1"/>
    <col min="15" max="15" width="8.77734375" bestFit="1" customWidth="1"/>
  </cols>
  <sheetData>
    <row r="1" spans="1:16" x14ac:dyDescent="0.3">
      <c r="A1" s="9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19</v>
      </c>
      <c r="M2" s="1" t="s">
        <v>20</v>
      </c>
      <c r="N2" s="1" t="s">
        <v>8</v>
      </c>
      <c r="O2" s="6" t="s">
        <v>23</v>
      </c>
      <c r="P2" s="11" t="s">
        <v>24</v>
      </c>
    </row>
    <row r="3" spans="1:16" x14ac:dyDescent="0.3">
      <c r="A3" s="2">
        <v>1</v>
      </c>
      <c r="B3" s="2" t="s">
        <v>11</v>
      </c>
      <c r="C3" s="3" t="s">
        <v>16</v>
      </c>
      <c r="D3" s="2">
        <v>75</v>
      </c>
      <c r="E3" s="2">
        <v>99</v>
      </c>
      <c r="F3" s="2">
        <v>96</v>
      </c>
      <c r="G3" s="2">
        <f>SUM(D3:F3)</f>
        <v>270</v>
      </c>
      <c r="H3" s="2">
        <f>AVERAGE(D3:F3)</f>
        <v>90</v>
      </c>
      <c r="I3" s="2" t="str">
        <f>IF(H3&gt;80,"BEST","LOW")</f>
        <v>BEST</v>
      </c>
      <c r="J3" s="2">
        <f>MIN(D3:F3)</f>
        <v>75</v>
      </c>
      <c r="K3" s="2">
        <f>MAX(D3:F3)</f>
        <v>99</v>
      </c>
      <c r="L3" s="2">
        <v>1</v>
      </c>
      <c r="M3" s="2" t="str">
        <f t="shared" ref="M3:M6" si="0">IF(H3&gt;80,"O", IF(H3&gt;60,"A","F"))</f>
        <v>O</v>
      </c>
      <c r="N3" s="2" t="str">
        <f>IF(H3&gt;60,"PASS","FAIL")</f>
        <v>PASS</v>
      </c>
      <c r="O3" t="str">
        <f>IF(AND(C3="IT",N3="PASS"),"BEST","AVERAGE")</f>
        <v>BEST</v>
      </c>
      <c r="P3" t="str">
        <f>IF(OR(C3="IT",N3="PASS"),"BEST","AVERAGE")</f>
        <v>BEST</v>
      </c>
    </row>
    <row r="4" spans="1:16" x14ac:dyDescent="0.3">
      <c r="A4" s="2">
        <v>2</v>
      </c>
      <c r="B4" s="2" t="s">
        <v>12</v>
      </c>
      <c r="C4" s="3" t="s">
        <v>16</v>
      </c>
      <c r="D4" s="2">
        <v>94</v>
      </c>
      <c r="E4" s="2">
        <v>50</v>
      </c>
      <c r="F4" s="2">
        <v>95</v>
      </c>
      <c r="G4" s="2">
        <f t="shared" ref="G4:G6" si="1">SUM(D4:F4)</f>
        <v>239</v>
      </c>
      <c r="H4" s="2">
        <f t="shared" ref="H4:H8" si="2">AVERAGE(D4:F4)</f>
        <v>79.666666666666671</v>
      </c>
      <c r="I4" s="2" t="str">
        <f t="shared" ref="I4:I8" si="3">IF(H4&gt;80,"BEST","LOW")</f>
        <v>LOW</v>
      </c>
      <c r="J4" s="2">
        <f t="shared" ref="J4:J8" si="4">MIN(D4:F4)</f>
        <v>50</v>
      </c>
      <c r="K4" s="2">
        <f t="shared" ref="K4:K8" si="5">MAX(D4:F4)</f>
        <v>95</v>
      </c>
      <c r="L4" s="2">
        <v>2</v>
      </c>
      <c r="M4" s="2" t="str">
        <f t="shared" si="0"/>
        <v>A</v>
      </c>
      <c r="N4" s="2" t="str">
        <f t="shared" ref="N4:N8" si="6">IF(H4&gt;60,"PASS","FAIL")</f>
        <v>PASS</v>
      </c>
      <c r="O4" t="str">
        <f t="shared" ref="O4:O8" si="7">IF(AND(C4="IT",N4="PASS"),"BEST","AVERAGE")</f>
        <v>BEST</v>
      </c>
      <c r="P4" t="str">
        <f t="shared" ref="P4:P8" si="8">IF(OR(C4="IT",N4="PASS"),"BEST","AVERAGE")</f>
        <v>BEST</v>
      </c>
    </row>
    <row r="5" spans="1:16" x14ac:dyDescent="0.3">
      <c r="A5" s="2">
        <v>3</v>
      </c>
      <c r="B5" s="2" t="s">
        <v>13</v>
      </c>
      <c r="C5" s="4" t="s">
        <v>17</v>
      </c>
      <c r="D5" s="2">
        <v>94</v>
      </c>
      <c r="E5" s="2">
        <v>75</v>
      </c>
      <c r="F5" s="2">
        <v>88</v>
      </c>
      <c r="G5" s="2">
        <f t="shared" si="1"/>
        <v>257</v>
      </c>
      <c r="H5" s="2">
        <f t="shared" si="2"/>
        <v>85.666666666666671</v>
      </c>
      <c r="I5" s="2" t="str">
        <f t="shared" si="3"/>
        <v>BEST</v>
      </c>
      <c r="J5" s="2">
        <f t="shared" si="4"/>
        <v>75</v>
      </c>
      <c r="K5" s="2">
        <f t="shared" si="5"/>
        <v>94</v>
      </c>
      <c r="L5" s="2">
        <v>3</v>
      </c>
      <c r="M5" s="2" t="str">
        <f t="shared" si="0"/>
        <v>O</v>
      </c>
      <c r="N5" s="2" t="str">
        <f t="shared" si="6"/>
        <v>PASS</v>
      </c>
      <c r="O5" t="str">
        <f t="shared" si="7"/>
        <v>AVERAGE</v>
      </c>
      <c r="P5" t="str">
        <f t="shared" si="8"/>
        <v>BEST</v>
      </c>
    </row>
    <row r="6" spans="1:16" x14ac:dyDescent="0.3">
      <c r="A6" s="2">
        <v>4</v>
      </c>
      <c r="B6" s="2" t="s">
        <v>14</v>
      </c>
      <c r="C6" s="3" t="s">
        <v>16</v>
      </c>
      <c r="D6" s="2">
        <v>80</v>
      </c>
      <c r="E6" s="2">
        <v>94</v>
      </c>
      <c r="F6" s="2">
        <v>78</v>
      </c>
      <c r="G6" s="2">
        <f t="shared" si="1"/>
        <v>252</v>
      </c>
      <c r="H6" s="2">
        <f t="shared" si="2"/>
        <v>84</v>
      </c>
      <c r="I6" s="2" t="str">
        <f t="shared" si="3"/>
        <v>BEST</v>
      </c>
      <c r="J6" s="2">
        <f t="shared" si="4"/>
        <v>78</v>
      </c>
      <c r="K6" s="2">
        <f t="shared" si="5"/>
        <v>94</v>
      </c>
      <c r="L6" s="2">
        <v>4</v>
      </c>
      <c r="M6" s="2" t="str">
        <f t="shared" si="0"/>
        <v>O</v>
      </c>
      <c r="N6" s="2" t="str">
        <f t="shared" si="6"/>
        <v>PASS</v>
      </c>
      <c r="O6" t="str">
        <f t="shared" si="7"/>
        <v>BEST</v>
      </c>
      <c r="P6" t="str">
        <f t="shared" si="8"/>
        <v>BEST</v>
      </c>
    </row>
    <row r="7" spans="1:16" x14ac:dyDescent="0.3">
      <c r="A7" s="2">
        <v>5</v>
      </c>
      <c r="B7" s="2" t="s">
        <v>15</v>
      </c>
      <c r="C7" s="5" t="s">
        <v>18</v>
      </c>
      <c r="D7" s="2">
        <v>60</v>
      </c>
      <c r="E7" s="2">
        <v>50</v>
      </c>
      <c r="F7" s="2">
        <v>97</v>
      </c>
      <c r="G7" s="2">
        <f>SUM(D7:F7)</f>
        <v>207</v>
      </c>
      <c r="H7" s="2">
        <f t="shared" si="2"/>
        <v>69</v>
      </c>
      <c r="I7" s="2" t="str">
        <f t="shared" si="3"/>
        <v>LOW</v>
      </c>
      <c r="J7" s="2">
        <f t="shared" si="4"/>
        <v>50</v>
      </c>
      <c r="K7" s="2">
        <f t="shared" si="5"/>
        <v>97</v>
      </c>
      <c r="L7" s="2">
        <v>5</v>
      </c>
      <c r="M7" s="2" t="str">
        <f>IF(H7&gt;80,"O", IF(H7&gt;60,"A","F"))</f>
        <v>A</v>
      </c>
      <c r="N7" s="2" t="str">
        <f t="shared" si="6"/>
        <v>PASS</v>
      </c>
      <c r="O7" t="str">
        <f t="shared" si="7"/>
        <v>AVERAGE</v>
      </c>
      <c r="P7" t="str">
        <f t="shared" si="8"/>
        <v>BEST</v>
      </c>
    </row>
    <row r="8" spans="1:16" x14ac:dyDescent="0.3">
      <c r="A8" s="7">
        <v>6</v>
      </c>
      <c r="B8" s="7" t="s">
        <v>22</v>
      </c>
      <c r="C8" s="8" t="s">
        <v>16</v>
      </c>
      <c r="D8" s="7">
        <v>39</v>
      </c>
      <c r="E8" s="7">
        <v>39</v>
      </c>
      <c r="F8" s="7">
        <v>39</v>
      </c>
      <c r="G8" s="7">
        <f>SUM(D8:F8)</f>
        <v>117</v>
      </c>
      <c r="H8" s="7">
        <f t="shared" si="2"/>
        <v>39</v>
      </c>
      <c r="I8" s="7" t="str">
        <f t="shared" si="3"/>
        <v>LOW</v>
      </c>
      <c r="J8" s="7">
        <f t="shared" si="4"/>
        <v>39</v>
      </c>
      <c r="K8" s="7">
        <f t="shared" si="5"/>
        <v>39</v>
      </c>
      <c r="L8" s="7">
        <v>6</v>
      </c>
      <c r="M8" s="2" t="str">
        <f>IF(H8&gt;80,"O", IF(H8&gt;60,"A","F"))</f>
        <v>F</v>
      </c>
      <c r="N8" s="7" t="str">
        <f t="shared" si="6"/>
        <v>FAIL</v>
      </c>
      <c r="O8" t="str">
        <f t="shared" si="7"/>
        <v>AVERAGE</v>
      </c>
      <c r="P8" t="str">
        <f t="shared" si="8"/>
        <v>BEST</v>
      </c>
    </row>
  </sheetData>
  <mergeCells count="1">
    <mergeCell ref="A1:P1"/>
  </mergeCells>
  <conditionalFormatting sqref="C3:C8">
    <cfRule type="containsText" dxfId="8" priority="6" operator="containsText" text="HR">
      <formula>NOT(ISERROR(SEARCH("HR",C3)))</formula>
    </cfRule>
    <cfRule type="containsText" dxfId="7" priority="7" operator="containsText" text="CSE">
      <formula>NOT(ISERROR(SEARCH("CSE",C3)))</formula>
    </cfRule>
    <cfRule type="containsText" dxfId="6" priority="8" operator="containsText" text="IT">
      <formula>NOT(ISERROR(SEARCH("IT",C3)))</formula>
    </cfRule>
  </conditionalFormatting>
  <conditionalFormatting sqref="D3:F8">
    <cfRule type="cellIs" dxfId="5" priority="11" operator="lessThan">
      <formula>80</formula>
    </cfRule>
  </conditionalFormatting>
  <conditionalFormatting sqref="I3:I8">
    <cfRule type="containsText" dxfId="4" priority="9" operator="containsText" text="BEST">
      <formula>NOT(ISERROR(SEARCH("BEST",I3)))</formula>
    </cfRule>
    <cfRule type="containsText" dxfId="3" priority="10" operator="containsText" text="LOW">
      <formula>NOT(ISERROR(SEARCH("LOW",I3)))</formula>
    </cfRule>
  </conditionalFormatting>
  <conditionalFormatting sqref="L3:L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{9F12CE02-69AA-4B2F-9EFC-8ED0871E7BC6}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BC589A9-0872-452B-88D3-DDB33AA35B08}">
            <x14:iconSet custom="1">
              <x14:cfvo type="percent">
                <xm:f>0</xm:f>
              </x14:cfvo>
              <x14:cfvo type="percent">
                <xm:f>70</xm:f>
              </x14:cfvo>
              <x14:cfvo type="percent">
                <xm:f>80</xm:f>
              </x14:cfvo>
              <x14:cfIcon iconSet="3Arrows" iconId="0"/>
              <x14:cfIcon iconSet="3Arrows" iconId="1"/>
              <x14:cfIcon iconSet="3Arrows" iconId="2"/>
            </x14:iconSet>
          </x14:cfRule>
          <xm:sqref>H3:H8</xm:sqref>
        </x14:conditionalFormatting>
        <x14:conditionalFormatting xmlns:xm="http://schemas.microsoft.com/office/excel/2006/main">
          <x14:cfRule type="dataBar" id="{9F12CE02-69AA-4B2F-9EFC-8ED0871E7B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B048-846F-4FA5-9FB3-89477AC0BED9}">
  <dimension ref="D7:D16"/>
  <sheetViews>
    <sheetView topLeftCell="A2" zoomScale="190" workbookViewId="0">
      <selection activeCell="G16" sqref="G16"/>
    </sheetView>
  </sheetViews>
  <sheetFormatPr defaultRowHeight="14.4" x14ac:dyDescent="0.3"/>
  <sheetData>
    <row r="7" spans="4:4" x14ac:dyDescent="0.3">
      <c r="D7">
        <v>1</v>
      </c>
    </row>
    <row r="8" spans="4:4" x14ac:dyDescent="0.3">
      <c r="D8">
        <v>2</v>
      </c>
    </row>
    <row r="9" spans="4:4" x14ac:dyDescent="0.3">
      <c r="D9">
        <v>3</v>
      </c>
    </row>
    <row r="10" spans="4:4" x14ac:dyDescent="0.3">
      <c r="D10">
        <v>4</v>
      </c>
    </row>
    <row r="11" spans="4:4" x14ac:dyDescent="0.3">
      <c r="D11">
        <v>5</v>
      </c>
    </row>
    <row r="12" spans="4:4" x14ac:dyDescent="0.3">
      <c r="D12">
        <v>6</v>
      </c>
    </row>
    <row r="13" spans="4:4" x14ac:dyDescent="0.3">
      <c r="D13">
        <v>7</v>
      </c>
    </row>
    <row r="14" spans="4:4" x14ac:dyDescent="0.3">
      <c r="D14">
        <v>8</v>
      </c>
    </row>
    <row r="15" spans="4:4" x14ac:dyDescent="0.3">
      <c r="D15">
        <v>9</v>
      </c>
    </row>
    <row r="16" spans="4:4" x14ac:dyDescent="0.3">
      <c r="D16">
        <v>10</v>
      </c>
    </row>
  </sheetData>
  <conditionalFormatting sqref="D7:D16">
    <cfRule type="expression" dxfId="2" priority="1">
      <formula>ISODD($D7)</formula>
    </cfRule>
    <cfRule type="expression" dxfId="1" priority="2">
      <formula>ISEVEN($D7)</formula>
    </cfRule>
  </conditionalFormatting>
  <conditionalFormatting sqref="E7">
    <cfRule type="expression" dxfId="0" priority="4">
      <formula>ISEVEN($D$7)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</vt:lpstr>
      <vt:lpstr>conditionl formatting odd or 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S0526447</dc:creator>
  <cp:lastModifiedBy>S0526447</cp:lastModifiedBy>
  <dcterms:created xsi:type="dcterms:W3CDTF">2026-07-27T05:47:04Z</dcterms:created>
  <dcterms:modified xsi:type="dcterms:W3CDTF">2026-07-28T06:47:57Z</dcterms:modified>
</cp:coreProperties>
</file>