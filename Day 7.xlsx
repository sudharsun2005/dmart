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ITV PROGRAMMING\excels\dmart\day wise\"/>
    </mc:Choice>
  </mc:AlternateContent>
  <xr:revisionPtr revIDLastSave="0" documentId="13_ncr:1_{4BB05A27-954E-4E1B-B68C-3365782F78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K8" i="1"/>
  <c r="P4" i="1"/>
  <c r="E10" i="1"/>
  <c r="F6" i="1"/>
  <c r="F5" i="1"/>
  <c r="F4" i="1"/>
  <c r="F3" i="1"/>
  <c r="F2" i="1"/>
  <c r="F7" i="1" s="1"/>
  <c r="C12" i="1"/>
</calcChain>
</file>

<file path=xl/sharedStrings.xml><?xml version="1.0" encoding="utf-8"?>
<sst xmlns="http://schemas.openxmlformats.org/spreadsheetml/2006/main" count="47" uniqueCount="37">
  <si>
    <t>Sales Person</t>
  </si>
  <si>
    <t>Region</t>
  </si>
  <si>
    <t xml:space="preserve">Sales </t>
  </si>
  <si>
    <t xml:space="preserve">Arjun </t>
  </si>
  <si>
    <t>North</t>
  </si>
  <si>
    <t xml:space="preserve">Priya </t>
  </si>
  <si>
    <t>South</t>
  </si>
  <si>
    <t xml:space="preserve">Rahul </t>
  </si>
  <si>
    <t>East</t>
  </si>
  <si>
    <t>Ananya</t>
  </si>
  <si>
    <t>West</t>
  </si>
  <si>
    <t xml:space="preserve">Vikram </t>
  </si>
  <si>
    <t xml:space="preserve">Sneha </t>
  </si>
  <si>
    <t>Karthik</t>
  </si>
  <si>
    <t xml:space="preserve">Meera </t>
  </si>
  <si>
    <t xml:space="preserve">Aditya </t>
  </si>
  <si>
    <t>Central</t>
  </si>
  <si>
    <t xml:space="preserve">Kavya </t>
  </si>
  <si>
    <t>REGION EAST-SUM OF SALES</t>
  </si>
  <si>
    <t>REGION WEST-SUM OF SALES</t>
  </si>
  <si>
    <t>REGION NORTH-SUM OF SALES</t>
  </si>
  <si>
    <t>REGION SOUTH-SUM OF SALES</t>
  </si>
  <si>
    <t>REGION CENTRAL-SUM OF SALES</t>
  </si>
  <si>
    <t>SUM OF SALES</t>
  </si>
  <si>
    <t>RESULT OF THE SUM FOR TALLY</t>
  </si>
  <si>
    <t>P</t>
  </si>
  <si>
    <t>A</t>
  </si>
  <si>
    <t>ATTENDANCE</t>
  </si>
  <si>
    <t>count north region salespeople with sales greater than 15k</t>
  </si>
  <si>
    <t>year</t>
  </si>
  <si>
    <t>winner</t>
  </si>
  <si>
    <t>MI</t>
  </si>
  <si>
    <t>CSK</t>
  </si>
  <si>
    <t>GT</t>
  </si>
  <si>
    <t>KKR</t>
  </si>
  <si>
    <t>RCB</t>
  </si>
  <si>
    <t>CSK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</si>
</sst>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K3" sqref="K3:P3"/>
    </sheetView>
  </sheetViews>
  <sheetFormatPr defaultRowHeight="14.4" x14ac:dyDescent="0.3"/>
  <cols>
    <col min="1" max="1" width="14.33203125" bestFit="1" customWidth="1"/>
    <col min="2" max="2" width="8.33203125" bestFit="1" customWidth="1"/>
    <col min="3" max="3" width="7" bestFit="1" customWidth="1"/>
    <col min="4" max="4" width="7" customWidth="1"/>
    <col min="5" max="5" width="27.44140625" bestFit="1" customWidth="1"/>
    <col min="6" max="6" width="7" bestFit="1" customWidth="1"/>
    <col min="11" max="11" width="49.33203125" bestFit="1" customWidth="1"/>
  </cols>
  <sheetData>
    <row r="1" spans="1:16" ht="18" x14ac:dyDescent="0.35">
      <c r="A1" s="1" t="s">
        <v>0</v>
      </c>
      <c r="B1" s="1" t="s">
        <v>1</v>
      </c>
      <c r="C1" s="1" t="s">
        <v>2</v>
      </c>
      <c r="D1" s="1"/>
      <c r="E1" s="4" t="s">
        <v>23</v>
      </c>
      <c r="F1" s="3"/>
    </row>
    <row r="2" spans="1:16" x14ac:dyDescent="0.3">
      <c r="A2" t="s">
        <v>3</v>
      </c>
      <c r="B2" t="s">
        <v>4</v>
      </c>
      <c r="C2">
        <v>12500</v>
      </c>
      <c r="E2" s="4" t="s">
        <v>18</v>
      </c>
      <c r="F2" s="3">
        <f>SUMIFS(C2:C11,B2:B11,"East")</f>
        <v>27050</v>
      </c>
    </row>
    <row r="3" spans="1:16" x14ac:dyDescent="0.3">
      <c r="A3" t="s">
        <v>5</v>
      </c>
      <c r="B3" t="s">
        <v>6</v>
      </c>
      <c r="C3">
        <v>18200</v>
      </c>
      <c r="E3" s="4" t="s">
        <v>19</v>
      </c>
      <c r="F3" s="3">
        <f>SUMIFS(C2:C11,B2:B11,"West")</f>
        <v>45500</v>
      </c>
      <c r="K3" s="7" t="s">
        <v>27</v>
      </c>
      <c r="L3" s="7"/>
      <c r="M3" s="7"/>
      <c r="N3" s="7"/>
      <c r="O3" s="7"/>
      <c r="P3" s="7"/>
    </row>
    <row r="4" spans="1:16" x14ac:dyDescent="0.3">
      <c r="A4" t="s">
        <v>7</v>
      </c>
      <c r="B4" t="s">
        <v>8</v>
      </c>
      <c r="C4">
        <v>9750</v>
      </c>
      <c r="E4" s="4" t="s">
        <v>20</v>
      </c>
      <c r="F4" s="3">
        <f>SUMIFS(C2:C11,B2:B11,"North")</f>
        <v>28100</v>
      </c>
      <c r="K4" s="3" t="s">
        <v>25</v>
      </c>
      <c r="L4" s="3" t="s">
        <v>25</v>
      </c>
      <c r="M4" s="3" t="s">
        <v>25</v>
      </c>
      <c r="N4" s="3" t="s">
        <v>26</v>
      </c>
      <c r="O4" s="3" t="s">
        <v>26</v>
      </c>
      <c r="P4" s="3">
        <f>COUNTIF(K4:O4,"P")</f>
        <v>3</v>
      </c>
    </row>
    <row r="5" spans="1:16" x14ac:dyDescent="0.3">
      <c r="A5" t="s">
        <v>9</v>
      </c>
      <c r="B5" t="s">
        <v>10</v>
      </c>
      <c r="C5">
        <v>21400</v>
      </c>
      <c r="E5" s="4" t="s">
        <v>21</v>
      </c>
      <c r="F5" s="3">
        <f>SUMIFS(C2:C11,B2:B11,"South")</f>
        <v>32100</v>
      </c>
    </row>
    <row r="6" spans="1:16" x14ac:dyDescent="0.3">
      <c r="A6" t="s">
        <v>11</v>
      </c>
      <c r="B6" t="s">
        <v>4</v>
      </c>
      <c r="C6">
        <v>15600</v>
      </c>
      <c r="E6" s="4" t="s">
        <v>22</v>
      </c>
      <c r="F6" s="5">
        <f>SUMIFS(C2:C11,B2:B11,"Central")</f>
        <v>31300</v>
      </c>
    </row>
    <row r="7" spans="1:16" x14ac:dyDescent="0.3">
      <c r="A7" t="s">
        <v>12</v>
      </c>
      <c r="B7" t="s">
        <v>6</v>
      </c>
      <c r="C7">
        <v>13900</v>
      </c>
      <c r="E7" s="3"/>
      <c r="F7" s="4">
        <f>SUM(F2:F6)</f>
        <v>164050</v>
      </c>
      <c r="K7" s="3" t="s">
        <v>28</v>
      </c>
    </row>
    <row r="8" spans="1:16" x14ac:dyDescent="0.3">
      <c r="A8" t="s">
        <v>13</v>
      </c>
      <c r="B8" t="s">
        <v>8</v>
      </c>
      <c r="C8">
        <v>17300</v>
      </c>
      <c r="K8" s="3">
        <f>COUNTIFS(C2:C11,"&gt;15000",B2:B11,"North")</f>
        <v>1</v>
      </c>
    </row>
    <row r="9" spans="1:16" x14ac:dyDescent="0.3">
      <c r="A9" t="s">
        <v>14</v>
      </c>
      <c r="B9" t="s">
        <v>10</v>
      </c>
      <c r="C9">
        <v>24100</v>
      </c>
      <c r="E9" s="6" t="s">
        <v>24</v>
      </c>
    </row>
    <row r="10" spans="1:16" x14ac:dyDescent="0.3">
      <c r="A10" t="s">
        <v>15</v>
      </c>
      <c r="B10" t="s">
        <v>16</v>
      </c>
      <c r="C10">
        <v>11800</v>
      </c>
      <c r="E10" s="3" t="str">
        <f>IF(C12=F7,"TALLY","NOT TALLY")</f>
        <v>TALLY</v>
      </c>
      <c r="K10" s="4" t="s">
        <v>29</v>
      </c>
      <c r="L10" s="4" t="s">
        <v>30</v>
      </c>
    </row>
    <row r="11" spans="1:16" x14ac:dyDescent="0.3">
      <c r="A11" t="s">
        <v>17</v>
      </c>
      <c r="B11" t="s">
        <v>16</v>
      </c>
      <c r="C11">
        <v>19500</v>
      </c>
      <c r="K11" s="3">
        <v>2020</v>
      </c>
      <c r="L11" s="3" t="s">
        <v>31</v>
      </c>
    </row>
    <row r="12" spans="1:16" x14ac:dyDescent="0.3">
      <c r="C12" s="2">
        <f>SUM(C2:C11)</f>
        <v>164050</v>
      </c>
      <c r="D12" s="2"/>
      <c r="K12" s="3">
        <v>2021</v>
      </c>
      <c r="L12" s="3" t="s">
        <v>32</v>
      </c>
    </row>
    <row r="13" spans="1:16" x14ac:dyDescent="0.3">
      <c r="K13" s="3">
        <v>2022</v>
      </c>
      <c r="L13" s="3" t="s">
        <v>33</v>
      </c>
    </row>
    <row r="14" spans="1:16" x14ac:dyDescent="0.3">
      <c r="K14" s="3">
        <v>2023</v>
      </c>
      <c r="L14" s="3" t="s">
        <v>32</v>
      </c>
    </row>
    <row r="15" spans="1:16" x14ac:dyDescent="0.3">
      <c r="K15" s="3">
        <v>2024</v>
      </c>
      <c r="L15" s="3" t="s">
        <v>34</v>
      </c>
    </row>
    <row r="16" spans="1:16" x14ac:dyDescent="0.3">
      <c r="K16" s="3">
        <v>2025</v>
      </c>
      <c r="L16" s="3" t="s">
        <v>35</v>
      </c>
    </row>
    <row r="17" spans="11:12" x14ac:dyDescent="0.3">
      <c r="K17" s="3">
        <v>2026</v>
      </c>
      <c r="L17" s="3" t="s">
        <v>35</v>
      </c>
    </row>
    <row r="18" spans="11:12" x14ac:dyDescent="0.3">
      <c r="K18" s="3"/>
      <c r="L18" s="3"/>
    </row>
    <row r="19" spans="11:12" x14ac:dyDescent="0.3">
      <c r="K19" s="4" t="s">
        <v>36</v>
      </c>
      <c r="L19" s="4">
        <f>COUNTIF(L11:L17,"CSK")</f>
        <v>2</v>
      </c>
    </row>
  </sheetData>
  <autoFilter ref="A1:P19" xr:uid="{00000000-0001-0000-0000-000000000000}"/>
  <mergeCells count="1">
    <mergeCell ref="K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S0526447</cp:lastModifiedBy>
  <dcterms:created xsi:type="dcterms:W3CDTF">2026-07-29T06:11:28Z</dcterms:created>
  <dcterms:modified xsi:type="dcterms:W3CDTF">2026-07-29T07:45:55Z</dcterms:modified>
</cp:coreProperties>
</file>