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13_ncr:1_{A7966C4E-6DE7-434E-8961-7796EEB47099}" xr6:coauthVersionLast="47" xr6:coauthVersionMax="47" xr10:uidLastSave="{00000000-0000-0000-0000-000000000000}"/>
  <bookViews>
    <workbookView xWindow="-108" yWindow="-108" windowWidth="23256" windowHeight="13176" xr2:uid="{D5886BB6-3CA3-4DA7-8BE7-674E517A0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" i="1" l="1"/>
  <c r="L12" i="1"/>
  <c r="Q7" i="1"/>
  <c r="Q14" i="1" a="1"/>
  <c r="Q14" i="1" s="1"/>
  <c r="C11" i="1" a="1"/>
  <c r="C11" i="1" s="1"/>
  <c r="F11" i="1" a="1"/>
  <c r="F11" i="1"/>
  <c r="C14" i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<sst xmlns="http://schemas.openxmlformats.org/spreadsheetml/2006/main" count="18" uniqueCount="18">
  <si>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COLORS</t>
  </si>
  <si>
    <t xml:space="preserve">RED </t>
  </si>
  <si>
    <t xml:space="preserve">GREEN </t>
  </si>
  <si>
    <t>BLUE</t>
  </si>
  <si>
    <t>MATCH</t>
  </si>
  <si>
    <t>ENTER THE COLOR</t>
  </si>
  <si>
    <t>YELLOW</t>
  </si>
  <si>
    <t>INDEX=</t>
  </si>
  <si>
    <t>ENTER THE ROW NO:</t>
  </si>
  <si>
    <t>EMPLOYEE DATA</t>
  </si>
  <si>
    <t>E.NO</t>
  </si>
  <si>
    <t>E.NAME</t>
  </si>
  <si>
    <t>SALARY</t>
  </si>
  <si>
    <t>INPUT=&gt;2</t>
  </si>
  <si>
    <t>Kumaran</t>
  </si>
  <si>
    <t>Vignesh</t>
  </si>
  <si>
    <t>Sharan</t>
  </si>
  <si>
    <t>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</si>
</sst>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6F06-EDDE-4E15-BA9E-FD5AAEACAC85}">
  <dimension ref="B2:Q16"/>
  <sheetViews>
    <sheetView tabSelected="1" workbookViewId="0">
      <selection activeCell="N12" sqref="N12:N13"/>
    </sheetView>
  </sheetViews>
  <sheetFormatPr defaultRowHeight="14.4" x14ac:dyDescent="0.3"/>
  <cols>
    <col min="2" max="2" width="16.21875" bestFit="1" customWidth="1"/>
    <col min="3" max="3" width="7.77734375" bestFit="1" customWidth="1"/>
    <col min="5" max="5" width="18.109375" bestFit="1" customWidth="1"/>
    <col min="6" max="6" width="3.33203125" bestFit="1" customWidth="1"/>
    <col min="14" max="14" width="16.109375" bestFit="1" customWidth="1"/>
  </cols>
  <sheetData>
    <row r="2" spans="2:17" x14ac:dyDescent="0.3">
      <c r="B2" s="1" t="s">
        <v>0</v>
      </c>
    </row>
    <row r="3" spans="2:17" x14ac:dyDescent="0.3">
      <c r="B3" t="s">
        <v>1</v>
      </c>
    </row>
    <row r="4" spans="2:17" x14ac:dyDescent="0.3">
      <c r="B4" t="s">
        <v>2</v>
      </c>
    </row>
    <row r="5" spans="2:17" x14ac:dyDescent="0.3">
      <c r="B5" t="s">
        <v>3</v>
      </c>
      <c r="K5" s="3" t="s">
        <v>9</v>
      </c>
      <c r="L5" s="3"/>
      <c r="M5" s="3"/>
    </row>
    <row r="6" spans="2:17" x14ac:dyDescent="0.3">
      <c r="K6" s="4" t="s">
        <v>10</v>
      </c>
      <c r="L6" s="4" t="s">
        <v>11</v>
      </c>
      <c r="M6" s="4" t="s">
        <v>12</v>
      </c>
    </row>
    <row r="7" spans="2:17" x14ac:dyDescent="0.3">
      <c r="B7" t="s">
        <v>4</v>
      </c>
      <c r="C7">
        <f>MATCH("GREEN",B3:B5,-1)</f>
        <v>2</v>
      </c>
      <c r="K7" s="2">
        <v>1</v>
      </c>
      <c r="L7" s="2" t="s">
        <v>14</v>
      </c>
      <c r="M7" s="2">
        <v>600000</v>
      </c>
      <c r="Q7" t="str">
        <f>UPPER(L7)</f>
        <v>KUMARAN</v>
      </c>
    </row>
    <row r="8" spans="2:17" x14ac:dyDescent="0.3">
      <c r="K8" s="2">
        <v>2</v>
      </c>
      <c r="L8" s="2" t="s">
        <v>15</v>
      </c>
      <c r="M8" s="2">
        <v>400000</v>
      </c>
    </row>
    <row r="9" spans="2:17" x14ac:dyDescent="0.3">
      <c r="K9" s="2">
        <v>3</v>
      </c>
      <c r="L9" s="2" t="s">
        <v>16</v>
      </c>
      <c r="M9" s="2">
        <v>50000</v>
      </c>
    </row>
    <row r="10" spans="2:17" x14ac:dyDescent="0.3">
      <c r="B10" t="s">
        <v>5</v>
      </c>
      <c r="C10" t="s">
        <v>6</v>
      </c>
      <c r="E10" t="s">
        <v>8</v>
      </c>
      <c r="F10">
        <v>7</v>
      </c>
    </row>
    <row r="11" spans="2:17" x14ac:dyDescent="0.3">
      <c r="C11" t="str" cm="1">
        <f t="array" ref="C11:C13">IFERROR(MATCH(B3:B5,F10),"NF")</f>
        <v>NF</v>
      </c>
      <c r="F11" t="str" cm="1">
        <f t="array" ref="F11">IFERROR(INDEX(B3:B5,F10),"NF")</f>
        <v>NF</v>
      </c>
    </row>
    <row r="12" spans="2:17" x14ac:dyDescent="0.3">
      <c r="C12" t="str">
        <v>NF</v>
      </c>
      <c r="K12" s="5" t="s">
        <v>13</v>
      </c>
      <c r="L12" s="5">
        <f>INDEX(M7:M9,MATCH(2,K7:K9))</f>
        <v>400000</v>
      </c>
      <c r="N12" t="s">
        <v>17</v>
      </c>
    </row>
    <row r="13" spans="2:17" x14ac:dyDescent="0.3">
      <c r="C13" t="str">
        <v>NF</v>
      </c>
      <c r="N13" t="str">
        <f>IFERROR(INDEX(M7:M9,MATCH(4,K7:K9,0)),"NOT FOUND")</f>
        <v>NOT FOUND</v>
      </c>
    </row>
    <row r="14" spans="2:17" x14ac:dyDescent="0.3">
      <c r="B14" t="s">
        <v>7</v>
      </c>
      <c r="C14" t="str">
        <f>INDEX(B3:B5,2)</f>
        <v xml:space="preserve">GREEN </v>
      </c>
      <c r="Q14" t="str" cm="1">
        <f t="array" ref="Q14:Q16">L7:L9</f>
        <v>Kumaran</v>
      </c>
    </row>
    <row r="15" spans="2:17" x14ac:dyDescent="0.3">
      <c r="Q15" t="str">
        <v>Vignesh</v>
      </c>
    </row>
    <row r="16" spans="2:17" x14ac:dyDescent="0.3">
      <c r="L16" s="5"/>
      <c r="Q16" t="str">
        <v>Sharan</v>
      </c>
    </row>
  </sheetData>
  <mergeCells count="1">
    <mergeCell ref="K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S0526447</dc:creator>
  <cp:lastModifiedBy>S0526447</cp:lastModifiedBy>
  <dcterms:created xsi:type="dcterms:W3CDTF">2026-07-30T06:19:39Z</dcterms:created>
  <dcterms:modified xsi:type="dcterms:W3CDTF">2026-07-30T07:23:21Z</dcterms:modified>
</cp:coreProperties>
</file>